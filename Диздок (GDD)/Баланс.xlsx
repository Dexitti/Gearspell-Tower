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Working folder of Dima\Projects\Gearspell Tower\Диздок (GDD)\"/>
    </mc:Choice>
  </mc:AlternateContent>
  <xr:revisionPtr revIDLastSave="0" documentId="13_ncr:1_{5C951438-CD57-4971-B7A1-3603DCD628BD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Снаряжение" sheetId="1" r:id="rId1"/>
    <sheet name="Враги" sheetId="2" r:id="rId2"/>
    <sheet name="Баланс волн" sheetId="3" r:id="rId3"/>
    <sheet name="Значения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4" l="1"/>
  <c r="K6" i="4"/>
  <c r="C3" i="4"/>
  <c r="C4" i="3" s="1"/>
  <c r="E4" i="3" s="1"/>
  <c r="C4" i="4"/>
  <c r="C5" i="4"/>
  <c r="C2" i="4"/>
  <c r="C3" i="3" s="1"/>
  <c r="E3" i="3" s="1"/>
  <c r="D9" i="3"/>
  <c r="C8" i="3" l="1"/>
  <c r="E8" i="3" s="1"/>
  <c r="C7" i="3"/>
  <c r="E7" i="3" s="1"/>
  <c r="C5" i="3"/>
  <c r="E5" i="3" s="1"/>
  <c r="C6" i="3"/>
  <c r="E6" i="3" s="1"/>
  <c r="C2" i="3"/>
  <c r="E2" i="3" s="1"/>
  <c r="F2" i="3" s="1"/>
  <c r="F3" i="3" s="1"/>
  <c r="F4" i="3" s="1"/>
  <c r="F5" i="3" l="1"/>
  <c r="F6" i="3" s="1"/>
  <c r="F7" i="3" s="1"/>
  <c r="F8" i="3" s="1"/>
  <c r="F9" i="3" s="1"/>
  <c r="E9" i="3"/>
  <c r="C9" i="3"/>
</calcChain>
</file>

<file path=xl/sharedStrings.xml><?xml version="1.0" encoding="utf-8"?>
<sst xmlns="http://schemas.openxmlformats.org/spreadsheetml/2006/main" count="284" uniqueCount="186">
  <si>
    <t>Название</t>
  </si>
  <si>
    <t>Референс</t>
  </si>
  <si>
    <t>Описание</t>
  </si>
  <si>
    <t>Улучшения</t>
  </si>
  <si>
    <t>Активка</t>
  </si>
  <si>
    <t>Снаряжение</t>
  </si>
  <si>
    <t>Враги</t>
  </si>
  <si>
    <t>Огненный бур</t>
  </si>
  <si>
    <t>Молниеносные шестерни</t>
  </si>
  <si>
    <t>Ветряная мельница</t>
  </si>
  <si>
    <t>Ядовитые роторы</t>
  </si>
  <si>
    <t>Криогенный Стабилизатор</t>
  </si>
  <si>
    <t>Водяной молот</t>
  </si>
  <si>
    <t>Кинетическая броня</t>
  </si>
  <si>
    <t>Кварцевый резонатор</t>
  </si>
  <si>
    <t>падает сверху на врагов (как кольцо молний в vampire Survivors)</t>
  </si>
  <si>
    <t>шестеренки вылетают из башни и ложатся, а между ними пробивает эл. дуга</t>
  </si>
  <si>
    <t>ползут от башни как кроты, затем вырастают из земли и бьют ядовитыми шипами</t>
  </si>
  <si>
    <t>выпускает частые потоки ветра</t>
  </si>
  <si>
    <t>извергает луч холода узкой линией на среднюю дистанцию. Луч наносит умеренный урон и замедляет врагов</t>
  </si>
  <si>
    <t>гидроустановка совершает толчок, а из-под земли бьет молот по сильнейшему врагу</t>
  </si>
  <si>
    <t>при ударе, башня выпускает атаку по области в сторону обидчика</t>
  </si>
  <si>
    <t>испускает радиальные волны с большой частотой (урон уменьшается с дальностью, пронзанием)</t>
  </si>
  <si>
    <t>больше буров</t>
  </si>
  <si>
    <t>больше урон и размер</t>
  </si>
  <si>
    <r>
      <t xml:space="preserve">Развилка </t>
    </r>
    <r>
      <rPr>
        <sz val="12"/>
        <color theme="1"/>
        <rFont val="Calibri"/>
        <family val="2"/>
        <scheme val="minor"/>
      </rPr>
      <t>много маленьких буров</t>
    </r>
  </si>
  <si>
    <r>
      <rPr>
        <b/>
        <sz val="12"/>
        <color theme="1"/>
        <rFont val="Calibri"/>
        <family val="2"/>
        <scheme val="minor"/>
      </rPr>
      <t xml:space="preserve">Развилка </t>
    </r>
    <r>
      <rPr>
        <sz val="12"/>
        <color theme="1"/>
        <rFont val="Calibri"/>
        <family val="2"/>
        <scheme val="minor"/>
      </rPr>
      <t>редко и мало, но поджигает и станит</t>
    </r>
  </si>
  <si>
    <t>Ураган</t>
  </si>
  <si>
    <t>Стремительно выпускает множество выстрелов конусовидным веером</t>
  </si>
  <si>
    <t>увеличение урона</t>
  </si>
  <si>
    <t>пронзание и пробитие брони</t>
  </si>
  <si>
    <r>
      <t xml:space="preserve">Развилка </t>
    </r>
    <r>
      <rPr>
        <sz val="11"/>
        <color theme="1"/>
        <rFont val="Calibri"/>
        <family val="2"/>
        <scheme val="minor"/>
      </rPr>
      <t>шире и чаще разрез, но с меньшим уроном</t>
    </r>
  </si>
  <si>
    <r>
      <rPr>
        <b/>
        <sz val="11"/>
        <color theme="1"/>
        <rFont val="Calibri"/>
        <family val="2"/>
        <charset val="204"/>
        <scheme val="minor"/>
      </rPr>
      <t>Развилка</t>
    </r>
    <r>
      <rPr>
        <sz val="11"/>
        <color theme="1"/>
        <rFont val="Calibri"/>
        <family val="2"/>
        <scheme val="minor"/>
      </rPr>
      <t xml:space="preserve"> пронзающие снаряды, реже, но с большим уроном</t>
    </r>
  </si>
  <si>
    <t>больше шестеренок</t>
  </si>
  <si>
    <t>Дуги могут прыгнуть на 1-2 доп. цели от цепи</t>
  </si>
  <si>
    <r>
      <t xml:space="preserve">Развилка </t>
    </r>
    <r>
      <rPr>
        <sz val="11"/>
        <color theme="1"/>
        <rFont val="Calibri"/>
        <family val="2"/>
        <scheme val="minor"/>
      </rPr>
      <t>несколько проскоков</t>
    </r>
  </si>
  <si>
    <r>
      <rPr>
        <b/>
        <sz val="11"/>
        <color theme="1"/>
        <rFont val="Calibri"/>
        <family val="2"/>
        <charset val="204"/>
        <scheme val="minor"/>
      </rPr>
      <t>Развилка</t>
    </r>
    <r>
      <rPr>
        <sz val="11"/>
        <color theme="1"/>
        <rFont val="Calibri"/>
        <family val="2"/>
        <scheme val="minor"/>
      </rPr>
      <t xml:space="preserve"> вертикальный столб молнии над шестеренкой</t>
    </r>
  </si>
  <si>
    <t>Огненный смерч</t>
  </si>
  <si>
    <t>буры соединяются и оставляют огненную сеть на 5 сек</t>
  </si>
  <si>
    <t>Магнитный резонанс</t>
  </si>
  <si>
    <t>Шестерни и враги притягиваются друг к другу перед пробитием</t>
  </si>
  <si>
    <t>чаще бьют</t>
  </si>
  <si>
    <t>урон за стак и кол-во стаков яда</t>
  </si>
  <si>
    <r>
      <t xml:space="preserve">Развилка </t>
    </r>
    <r>
      <rPr>
        <sz val="11"/>
        <color theme="1"/>
        <rFont val="Calibri"/>
        <family val="2"/>
        <scheme val="minor"/>
      </rPr>
      <t>больше область и время жизни</t>
    </r>
  </si>
  <si>
    <r>
      <rPr>
        <b/>
        <sz val="11"/>
        <color theme="1"/>
        <rFont val="Calibri"/>
        <family val="2"/>
        <charset val="204"/>
        <scheme val="minor"/>
      </rPr>
      <t>Развилка</t>
    </r>
    <r>
      <rPr>
        <sz val="11"/>
        <color theme="1"/>
        <rFont val="Calibri"/>
        <family val="2"/>
        <scheme val="minor"/>
      </rPr>
      <t xml:space="preserve"> стреляют</t>
    </r>
  </si>
  <si>
    <t>Распространение</t>
  </si>
  <si>
    <t>Роторы выпускают облако яда, а умершие враги взрываюстся (ref. Сарина Warframe)</t>
  </si>
  <si>
    <t>сильнее замедление</t>
  </si>
  <si>
    <t>холодная земля после</t>
  </si>
  <si>
    <r>
      <t xml:space="preserve">Развилка </t>
    </r>
    <r>
      <rPr>
        <sz val="11"/>
        <color theme="1"/>
        <rFont val="Calibri"/>
        <family val="2"/>
        <scheme val="minor"/>
      </rPr>
      <t>замороженные враги получают повышенный урон</t>
    </r>
  </si>
  <si>
    <r>
      <rPr>
        <b/>
        <sz val="11"/>
        <color theme="1"/>
        <rFont val="Calibri"/>
        <family val="2"/>
        <charset val="204"/>
        <scheme val="minor"/>
      </rPr>
      <t>Развилка</t>
    </r>
    <r>
      <rPr>
        <sz val="11"/>
        <color theme="1"/>
        <rFont val="Calibri"/>
        <family val="2"/>
        <scheme val="minor"/>
      </rPr>
      <t xml:space="preserve">  луч становится коротким широким конусом</t>
    </r>
  </si>
  <si>
    <t>Абсолютный ноль</t>
  </si>
  <si>
    <t>Полная заморозка</t>
  </si>
  <si>
    <t>выше частота атак</t>
  </si>
  <si>
    <r>
      <t xml:space="preserve">Развилка </t>
    </r>
    <r>
      <rPr>
        <sz val="11"/>
        <color theme="1"/>
        <rFont val="Calibri"/>
        <family val="2"/>
        <scheme val="minor"/>
      </rPr>
      <t>замедление в небольшой области</t>
    </r>
  </si>
  <si>
    <r>
      <rPr>
        <b/>
        <sz val="11"/>
        <color theme="1"/>
        <rFont val="Calibri"/>
        <family val="2"/>
        <charset val="204"/>
        <scheme val="minor"/>
      </rPr>
      <t>Развилка</t>
    </r>
    <r>
      <rPr>
        <sz val="11"/>
        <color theme="1"/>
        <rFont val="Calibri"/>
        <family val="2"/>
        <scheme val="minor"/>
      </rPr>
      <t xml:space="preserve"> дот. ослабление с еще большим уроном</t>
    </r>
  </si>
  <si>
    <t>Шторм</t>
  </si>
  <si>
    <t>Три расширяющихся удара по цели</t>
  </si>
  <si>
    <t>увеличение урона и отбрасывания</t>
  </si>
  <si>
    <t>уменьшение перезарядки</t>
  </si>
  <si>
    <r>
      <t xml:space="preserve">Развилка </t>
    </r>
    <r>
      <rPr>
        <sz val="11"/>
        <color theme="1"/>
        <rFont val="Calibri"/>
        <family val="2"/>
        <scheme val="minor"/>
      </rPr>
      <t>урон преобразуется во временный щит</t>
    </r>
  </si>
  <si>
    <t>шанс оглушить</t>
  </si>
  <si>
    <r>
      <t xml:space="preserve">Развилка </t>
    </r>
    <r>
      <rPr>
        <sz val="11"/>
        <color theme="1"/>
        <rFont val="Calibri"/>
        <family val="2"/>
        <scheme val="minor"/>
      </rPr>
      <t>урон становится импульсным с небольшим отталкиванием</t>
    </r>
  </si>
  <si>
    <r>
      <rPr>
        <b/>
        <sz val="11"/>
        <color theme="1"/>
        <rFont val="Calibri"/>
        <family val="2"/>
        <charset val="204"/>
        <scheme val="minor"/>
      </rPr>
      <t>Развилка</t>
    </r>
    <r>
      <rPr>
        <sz val="11"/>
        <color theme="1"/>
        <rFont val="Calibri"/>
        <family val="2"/>
        <scheme val="minor"/>
      </rPr>
      <t xml:space="preserve"> урон не уменьшается с расстоянием/пронзанием (чем дольше враг в области, тем выше урон)</t>
    </r>
  </si>
  <si>
    <t>Коллективный психоз</t>
  </si>
  <si>
    <t>У врагов появляются ауры, домажущие других ближайших врагов</t>
  </si>
  <si>
    <t>№</t>
  </si>
  <si>
    <t>Тип</t>
  </si>
  <si>
    <t>Параметры</t>
  </si>
  <si>
    <t>Особенности</t>
  </si>
  <si>
    <t>Волна спавна</t>
  </si>
  <si>
    <t>Элементаль</t>
  </si>
  <si>
    <t>рабочий/бот</t>
  </si>
  <si>
    <t>автоматон</t>
  </si>
  <si>
    <t>дрон</t>
  </si>
  <si>
    <t>обычный</t>
  </si>
  <si>
    <t>обычный, летающий</t>
  </si>
  <si>
    <t>летает</t>
  </si>
  <si>
    <t>толще</t>
  </si>
  <si>
    <t>HP</t>
  </si>
  <si>
    <t>Урон</t>
  </si>
  <si>
    <t>Скорость</t>
  </si>
  <si>
    <t>страж</t>
  </si>
  <si>
    <t>мастер</t>
  </si>
  <si>
    <t>архимаг</t>
  </si>
  <si>
    <t>технократ</t>
  </si>
  <si>
    <t>высш. элементаль</t>
  </si>
  <si>
    <t>маг</t>
  </si>
  <si>
    <t>Астра</t>
  </si>
  <si>
    <t>Игнис</t>
  </si>
  <si>
    <t>Гир-Прима</t>
  </si>
  <si>
    <t>Протокол</t>
  </si>
  <si>
    <t>Ледянной голем</t>
  </si>
  <si>
    <t>босс</t>
  </si>
  <si>
    <t>*блочит снаряжение</t>
  </si>
  <si>
    <t>дальний урон</t>
  </si>
  <si>
    <t>бафает союзников</t>
  </si>
  <si>
    <t>периодически уходит в тень</t>
  </si>
  <si>
    <t>легкий</t>
  </si>
  <si>
    <t>средний</t>
  </si>
  <si>
    <t>пауко-голем</t>
  </si>
  <si>
    <t>драконоид</t>
  </si>
  <si>
    <t>бехолдер</t>
  </si>
  <si>
    <t>легкий/обычный</t>
  </si>
  <si>
    <t>асассин</t>
  </si>
  <si>
    <t>акробат</t>
  </si>
  <si>
    <t>перемещается рывками</t>
  </si>
  <si>
    <t>тяжелый</t>
  </si>
  <si>
    <t>танк</t>
  </si>
  <si>
    <t>-</t>
  </si>
  <si>
    <t>призывает много союзников</t>
  </si>
  <si>
    <t>иногда телепорт. и атака башни</t>
  </si>
  <si>
    <t>очень толстый, медленный</t>
  </si>
  <si>
    <t>ломает снаряды</t>
  </si>
  <si>
    <t>стреляет сломанными снарядами</t>
  </si>
  <si>
    <t>стреляет</t>
  </si>
  <si>
    <t>вызывает подкрепление</t>
  </si>
  <si>
    <t>*либо сделать фазы хп</t>
  </si>
  <si>
    <t>призывает элементалей</t>
  </si>
  <si>
    <t>бафает вокруг себя</t>
  </si>
  <si>
    <t>чинит машины</t>
  </si>
  <si>
    <t>быстрый</t>
  </si>
  <si>
    <t>периодически невосприимчив</t>
  </si>
  <si>
    <t>средний урон</t>
  </si>
  <si>
    <t>бьет летающих</t>
  </si>
  <si>
    <t>средняя скорость атаки</t>
  </si>
  <si>
    <t>высокая скорость атаки</t>
  </si>
  <si>
    <t>бьет несколько целей</t>
  </si>
  <si>
    <t>больше урона по броне</t>
  </si>
  <si>
    <t>шанс стана/небольшой стан</t>
  </si>
  <si>
    <t>блокирует врагам способность стрелять</t>
  </si>
  <si>
    <t>цепной урон</t>
  </si>
  <si>
    <t>столбы могут задеть летающих</t>
  </si>
  <si>
    <t>бьет по земле</t>
  </si>
  <si>
    <t>AoE</t>
  </si>
  <si>
    <t>бьет сквозь броню</t>
  </si>
  <si>
    <t>блокирует лечение</t>
  </si>
  <si>
    <t>замедляет быстрых и летающих</t>
  </si>
  <si>
    <t>мало урона по броне</t>
  </si>
  <si>
    <t>большой урон</t>
  </si>
  <si>
    <t>с прокачкой добивает с малым ХП</t>
  </si>
  <si>
    <t>возвращает %атаки</t>
  </si>
  <si>
    <t>может отбросить мили-врага</t>
  </si>
  <si>
    <t>может заблокировать снаряд</t>
  </si>
  <si>
    <t>AoE на малой дистанции</t>
  </si>
  <si>
    <t>очень высокая скорость атаки</t>
  </si>
  <si>
    <t>бьет летающих и в тени</t>
  </si>
  <si>
    <t>чинит себя либо ярость</t>
  </si>
  <si>
    <t>невосприимчив к замедлению</t>
  </si>
  <si>
    <t>невосприимчив к звуку</t>
  </si>
  <si>
    <t>рунный элементаль</t>
  </si>
  <si>
    <t>огн. элементаль</t>
  </si>
  <si>
    <t>спрут-техник</t>
  </si>
  <si>
    <t>охотник в мантии</t>
  </si>
  <si>
    <t>робот-берсерк</t>
  </si>
  <si>
    <r>
      <rPr>
        <b/>
        <sz val="11"/>
        <color theme="1"/>
        <rFont val="Calibri"/>
        <family val="2"/>
        <charset val="204"/>
        <scheme val="minor"/>
      </rPr>
      <t>Развилка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charset val="204"/>
        <scheme val="minor"/>
      </rPr>
      <t>рефлектует по кругу. Чем дольше не атакован, тем дальше будет атака</t>
    </r>
  </si>
  <si>
    <t>Каждое отражение провоцирует атаку других снаряжений</t>
  </si>
  <si>
    <t>Ускоритель</t>
  </si>
  <si>
    <t>Drone</t>
  </si>
  <si>
    <t>Mage</t>
  </si>
  <si>
    <t>Состав</t>
  </si>
  <si>
    <t>Σ Дроп</t>
  </si>
  <si>
    <t>Награда</t>
  </si>
  <si>
    <t>20F</t>
  </si>
  <si>
    <t>Итого:</t>
  </si>
  <si>
    <t>Враг</t>
  </si>
  <si>
    <t>Дроп (ср)</t>
  </si>
  <si>
    <t>мин</t>
  </si>
  <si>
    <t>макс</t>
  </si>
  <si>
    <t>Fire elemental</t>
  </si>
  <si>
    <t>Spider Golem</t>
  </si>
  <si>
    <t>Слот</t>
  </si>
  <si>
    <t>Ценна</t>
  </si>
  <si>
    <t>Рюкзак</t>
  </si>
  <si>
    <t>Equipment</t>
  </si>
  <si>
    <t>Common (х2)</t>
  </si>
  <si>
    <t>Fork</t>
  </si>
  <si>
    <t>Active</t>
  </si>
  <si>
    <t>5F</t>
  </si>
  <si>
    <t>16F+6D</t>
  </si>
  <si>
    <t>18F+6D+2M</t>
  </si>
  <si>
    <t>12F+4D+7M</t>
  </si>
  <si>
    <t>2M+8F+4M+1G</t>
  </si>
  <si>
    <t>2D+16F+6D+8M+2G</t>
  </si>
  <si>
    <t>За волну</t>
  </si>
  <si>
    <t>Σ 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</si>
</sst>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204"/>
      <scheme val="minor"/>
    </font>
    <font>
      <b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FAE75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3">
    <border>
      <left/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 style="thin">
        <color theme="1" tint="0.34998626667073579"/>
      </right>
      <top/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10" borderId="1" xfId="0" applyFont="1" applyFill="1" applyBorder="1" applyAlignment="1">
      <alignment vertical="top"/>
    </xf>
    <xf numFmtId="0" fontId="6" fillId="2" borderId="1" xfId="0" applyFont="1" applyFill="1" applyBorder="1" applyAlignment="1">
      <alignment horizontal="left" vertical="top" wrapText="1"/>
    </xf>
    <xf numFmtId="0" fontId="0" fillId="2" borderId="1" xfId="0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0" fontId="6" fillId="9" borderId="1" xfId="0" applyFont="1" applyFill="1" applyBorder="1" applyAlignment="1">
      <alignment horizontal="left" vertical="top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vertical="top" wrapText="1"/>
    </xf>
    <xf numFmtId="0" fontId="0" fillId="5" borderId="1" xfId="0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vertical="center" wrapText="1"/>
    </xf>
    <xf numFmtId="0" fontId="0" fillId="6" borderId="1" xfId="0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vertical="center" wrapText="1"/>
    </xf>
    <xf numFmtId="0" fontId="0" fillId="7" borderId="1" xfId="0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vertical="center" wrapText="1"/>
    </xf>
    <xf numFmtId="0" fontId="0" fillId="8" borderId="1" xfId="0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vertical="center" wrapText="1"/>
    </xf>
    <xf numFmtId="0" fontId="5" fillId="10" borderId="1" xfId="0" applyFont="1" applyFill="1" applyBorder="1" applyAlignment="1">
      <alignment horizontal="center" vertical="top"/>
    </xf>
    <xf numFmtId="0" fontId="0" fillId="0" borderId="1" xfId="0" applyBorder="1"/>
    <xf numFmtId="0" fontId="5" fillId="10" borderId="1" xfId="0" applyFont="1" applyFill="1" applyBorder="1" applyAlignment="1">
      <alignment horizontal="left"/>
    </xf>
    <xf numFmtId="0" fontId="5" fillId="10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0" fontId="4" fillId="0" borderId="1" xfId="0" applyFont="1" applyBorder="1"/>
    <xf numFmtId="164" fontId="0" fillId="0" borderId="1" xfId="0" applyNumberFormat="1" applyBorder="1"/>
    <xf numFmtId="164" fontId="3" fillId="0" borderId="1" xfId="0" applyNumberFormat="1" applyFont="1" applyBorder="1"/>
    <xf numFmtId="164" fontId="0" fillId="0" borderId="0" xfId="0" applyNumberFormat="1"/>
    <xf numFmtId="0" fontId="4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top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vertical="center" wrapText="1"/>
    </xf>
    <xf numFmtId="0" fontId="12" fillId="0" borderId="11" xfId="0" applyFont="1" applyBorder="1" applyAlignment="1">
      <alignment vertical="center" wrapText="1"/>
    </xf>
    <xf numFmtId="0" fontId="12" fillId="0" borderId="8" xfId="0" applyFont="1" applyBorder="1" applyAlignment="1">
      <alignment vertical="center" wrapText="1"/>
    </xf>
    <xf numFmtId="0" fontId="12" fillId="0" borderId="9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11" fillId="0" borderId="11" xfId="0" applyFont="1" applyBorder="1" applyAlignment="1">
      <alignment vertical="center" wrapText="1"/>
    </xf>
    <xf numFmtId="0" fontId="12" fillId="0" borderId="10" xfId="0" applyFont="1" applyBorder="1" applyAlignment="1">
      <alignment horizontal="right" vertical="center" wrapText="1"/>
    </xf>
    <xf numFmtId="0" fontId="11" fillId="0" borderId="10" xfId="0" applyFont="1" applyBorder="1" applyAlignment="1">
      <alignment vertical="center" wrapText="1"/>
    </xf>
    <xf numFmtId="0" fontId="6" fillId="6" borderId="1" xfId="0" applyFont="1" applyFill="1" applyBorder="1" applyAlignment="1">
      <alignment horizontal="center" vertical="top"/>
    </xf>
    <xf numFmtId="0" fontId="6" fillId="7" borderId="1" xfId="0" applyFont="1" applyFill="1" applyBorder="1" applyAlignment="1">
      <alignment horizontal="center" vertical="top"/>
    </xf>
    <xf numFmtId="0" fontId="6" fillId="8" borderId="1" xfId="0" applyFont="1" applyFill="1" applyBorder="1" applyAlignment="1">
      <alignment horizontal="center" vertical="top"/>
    </xf>
    <xf numFmtId="0" fontId="6" fillId="9" borderId="1" xfId="0" applyFont="1" applyFill="1" applyBorder="1" applyAlignment="1">
      <alignment horizontal="center" vertical="top"/>
    </xf>
    <xf numFmtId="0" fontId="6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11" borderId="0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6" fillId="4" borderId="1" xfId="0" applyFont="1" applyFill="1" applyBorder="1" applyAlignment="1">
      <alignment horizontal="center" vertical="top"/>
    </xf>
    <xf numFmtId="0" fontId="6" fillId="5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6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2" borderId="1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5" fillId="10" borderId="6" xfId="0" applyFont="1" applyFill="1" applyBorder="1" applyAlignment="1">
      <alignment horizontal="center" vertical="top"/>
    </xf>
    <xf numFmtId="0" fontId="5" fillId="10" borderId="7" xfId="0" applyFont="1" applyFill="1" applyBorder="1" applyAlignment="1">
      <alignment horizontal="center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5" fillId="11" borderId="1" xfId="0" applyFont="1" applyFill="1" applyBorder="1" applyAlignment="1">
      <alignment horizontal="center"/>
    </xf>
    <xf numFmtId="0" fontId="11" fillId="0" borderId="12" xfId="0" applyFont="1" applyBorder="1" applyAlignment="1">
      <alignment horizontal="right" vertical="center" wrapText="1"/>
    </xf>
    <xf numFmtId="0" fontId="11" fillId="0" borderId="9" xfId="0" applyFont="1" applyBorder="1" applyAlignment="1">
      <alignment horizontal="righ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AE75C"/>
      <color rgb="FF3399FF"/>
      <color rgb="FF66FF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2"/>
  <sheetViews>
    <sheetView topLeftCell="A21" zoomScaleNormal="100" workbookViewId="0">
      <selection activeCell="H34" sqref="H34"/>
    </sheetView>
  </sheetViews>
  <sheetFormatPr defaultRowHeight="15" x14ac:dyDescent="0.25"/>
  <cols>
    <col min="1" max="1" width="4.140625" style="1" customWidth="1"/>
    <col min="2" max="2" width="27.140625" customWidth="1"/>
    <col min="3" max="4" width="34.28515625" customWidth="1"/>
    <col min="5" max="5" width="39.7109375" customWidth="1"/>
    <col min="6" max="6" width="40" customWidth="1"/>
    <col min="7" max="7" width="33.85546875" customWidth="1"/>
  </cols>
  <sheetData>
    <row r="1" spans="1:7" ht="18.75" x14ac:dyDescent="0.3">
      <c r="A1" s="75" t="s">
        <v>5</v>
      </c>
      <c r="B1" s="75"/>
      <c r="C1" s="75"/>
      <c r="D1" s="75"/>
      <c r="E1" s="75"/>
      <c r="F1" s="75"/>
      <c r="G1" s="76"/>
    </row>
    <row r="2" spans="1:7" ht="18.75" x14ac:dyDescent="0.25">
      <c r="A2" s="42" t="s">
        <v>66</v>
      </c>
      <c r="B2" s="3" t="s">
        <v>0</v>
      </c>
      <c r="C2" s="3" t="s">
        <v>1</v>
      </c>
      <c r="D2" s="3" t="s">
        <v>69</v>
      </c>
      <c r="E2" s="3" t="s">
        <v>2</v>
      </c>
      <c r="F2" s="3" t="s">
        <v>3</v>
      </c>
      <c r="G2" s="3" t="s">
        <v>4</v>
      </c>
    </row>
    <row r="3" spans="1:7" ht="15.75" x14ac:dyDescent="0.25">
      <c r="A3" s="77">
        <v>1</v>
      </c>
      <c r="B3" s="77" t="s">
        <v>9</v>
      </c>
      <c r="C3" s="86"/>
      <c r="D3" s="4" t="s">
        <v>126</v>
      </c>
      <c r="E3" s="83" t="s">
        <v>18</v>
      </c>
      <c r="F3" s="5" t="s">
        <v>29</v>
      </c>
      <c r="G3" s="6" t="s">
        <v>27</v>
      </c>
    </row>
    <row r="4" spans="1:7" ht="15" customHeight="1" x14ac:dyDescent="0.25">
      <c r="A4" s="77"/>
      <c r="B4" s="77"/>
      <c r="C4" s="86"/>
      <c r="D4" s="4" t="s">
        <v>123</v>
      </c>
      <c r="E4" s="83"/>
      <c r="F4" s="5" t="s">
        <v>30</v>
      </c>
      <c r="G4" s="86" t="s">
        <v>28</v>
      </c>
    </row>
    <row r="5" spans="1:7" ht="30" x14ac:dyDescent="0.25">
      <c r="A5" s="77"/>
      <c r="B5" s="77"/>
      <c r="C5" s="86"/>
      <c r="D5" s="4" t="s">
        <v>124</v>
      </c>
      <c r="E5" s="83"/>
      <c r="F5" s="7" t="s">
        <v>31</v>
      </c>
      <c r="G5" s="86"/>
    </row>
    <row r="6" spans="1:7" ht="30" x14ac:dyDescent="0.25">
      <c r="A6" s="77"/>
      <c r="B6" s="77"/>
      <c r="C6" s="86"/>
      <c r="D6" s="4"/>
      <c r="E6" s="83"/>
      <c r="F6" s="8" t="s">
        <v>32</v>
      </c>
      <c r="G6" s="86"/>
    </row>
    <row r="7" spans="1:7" ht="15" customHeight="1" x14ac:dyDescent="0.25">
      <c r="A7" s="77"/>
      <c r="B7" s="77"/>
      <c r="C7" s="86"/>
      <c r="D7" s="4"/>
      <c r="E7" s="83"/>
      <c r="F7" s="7" t="s">
        <v>4</v>
      </c>
      <c r="G7" s="86"/>
    </row>
    <row r="8" spans="1:7" ht="15.75" x14ac:dyDescent="0.25">
      <c r="A8" s="78">
        <v>2</v>
      </c>
      <c r="B8" s="78" t="s">
        <v>7</v>
      </c>
      <c r="C8" s="84"/>
      <c r="D8" s="9" t="s">
        <v>125</v>
      </c>
      <c r="E8" s="84" t="s">
        <v>15</v>
      </c>
      <c r="F8" s="10" t="s">
        <v>23</v>
      </c>
      <c r="G8" s="23" t="s">
        <v>37</v>
      </c>
    </row>
    <row r="9" spans="1:7" ht="15.75" x14ac:dyDescent="0.25">
      <c r="A9" s="78"/>
      <c r="B9" s="78"/>
      <c r="C9" s="84"/>
      <c r="D9" s="9" t="s">
        <v>127</v>
      </c>
      <c r="E9" s="84"/>
      <c r="F9" s="10" t="s">
        <v>24</v>
      </c>
      <c r="G9" s="81" t="s">
        <v>38</v>
      </c>
    </row>
    <row r="10" spans="1:7" ht="15.75" x14ac:dyDescent="0.25">
      <c r="A10" s="78"/>
      <c r="B10" s="78"/>
      <c r="C10" s="84"/>
      <c r="D10" s="9" t="s">
        <v>124</v>
      </c>
      <c r="E10" s="84"/>
      <c r="F10" s="11" t="s">
        <v>25</v>
      </c>
      <c r="G10" s="81"/>
    </row>
    <row r="11" spans="1:7" ht="31.5" x14ac:dyDescent="0.25">
      <c r="A11" s="78"/>
      <c r="B11" s="78"/>
      <c r="C11" s="84"/>
      <c r="D11" s="9" t="s">
        <v>128</v>
      </c>
      <c r="E11" s="84"/>
      <c r="F11" s="12" t="s">
        <v>26</v>
      </c>
      <c r="G11" s="81"/>
    </row>
    <row r="12" spans="1:7" ht="15.75" x14ac:dyDescent="0.25">
      <c r="A12" s="78"/>
      <c r="B12" s="78"/>
      <c r="C12" s="84"/>
      <c r="D12" s="9"/>
      <c r="E12" s="84"/>
      <c r="F12" s="11" t="s">
        <v>4</v>
      </c>
      <c r="G12" s="81"/>
    </row>
    <row r="13" spans="1:7" ht="15.75" x14ac:dyDescent="0.25">
      <c r="A13" s="79">
        <v>3</v>
      </c>
      <c r="B13" s="79" t="s">
        <v>8</v>
      </c>
      <c r="C13" s="85"/>
      <c r="D13" s="13" t="s">
        <v>131</v>
      </c>
      <c r="E13" s="85" t="s">
        <v>16</v>
      </c>
      <c r="F13" s="24" t="s">
        <v>33</v>
      </c>
      <c r="G13" s="25" t="s">
        <v>39</v>
      </c>
    </row>
    <row r="14" spans="1:7" ht="31.5" x14ac:dyDescent="0.25">
      <c r="A14" s="79"/>
      <c r="B14" s="79"/>
      <c r="C14" s="85"/>
      <c r="D14" s="13" t="s">
        <v>130</v>
      </c>
      <c r="E14" s="85"/>
      <c r="F14" s="24" t="s">
        <v>34</v>
      </c>
      <c r="G14" s="82" t="s">
        <v>40</v>
      </c>
    </row>
    <row r="15" spans="1:7" ht="15.75" x14ac:dyDescent="0.25">
      <c r="A15" s="79"/>
      <c r="B15" s="79"/>
      <c r="C15" s="85"/>
      <c r="D15" s="13" t="s">
        <v>129</v>
      </c>
      <c r="E15" s="85"/>
      <c r="F15" s="26" t="s">
        <v>35</v>
      </c>
      <c r="G15" s="82"/>
    </row>
    <row r="16" spans="1:7" ht="30" x14ac:dyDescent="0.25">
      <c r="A16" s="79"/>
      <c r="B16" s="79"/>
      <c r="C16" s="85"/>
      <c r="D16" s="13" t="s">
        <v>132</v>
      </c>
      <c r="E16" s="85"/>
      <c r="F16" s="27" t="s">
        <v>36</v>
      </c>
      <c r="G16" s="82"/>
    </row>
    <row r="17" spans="1:7" ht="15.75" x14ac:dyDescent="0.25">
      <c r="A17" s="79"/>
      <c r="B17" s="79"/>
      <c r="C17" s="85"/>
      <c r="D17" s="13"/>
      <c r="E17" s="85"/>
      <c r="F17" s="26" t="s">
        <v>4</v>
      </c>
      <c r="G17" s="82"/>
    </row>
    <row r="18" spans="1:7" ht="15.75" x14ac:dyDescent="0.25">
      <c r="A18" s="80">
        <v>4</v>
      </c>
      <c r="B18" s="80" t="s">
        <v>10</v>
      </c>
      <c r="C18" s="70"/>
      <c r="D18" s="14" t="s">
        <v>133</v>
      </c>
      <c r="E18" s="70" t="s">
        <v>17</v>
      </c>
      <c r="F18" s="28" t="s">
        <v>41</v>
      </c>
      <c r="G18" s="19" t="s">
        <v>45</v>
      </c>
    </row>
    <row r="19" spans="1:7" ht="15.75" x14ac:dyDescent="0.25">
      <c r="A19" s="80"/>
      <c r="B19" s="80"/>
      <c r="C19" s="70"/>
      <c r="D19" s="14" t="s">
        <v>134</v>
      </c>
      <c r="E19" s="70"/>
      <c r="F19" s="28" t="s">
        <v>42</v>
      </c>
      <c r="G19" s="70" t="s">
        <v>46</v>
      </c>
    </row>
    <row r="20" spans="1:7" ht="15.75" x14ac:dyDescent="0.25">
      <c r="A20" s="80"/>
      <c r="B20" s="80"/>
      <c r="C20" s="70"/>
      <c r="D20" s="14" t="s">
        <v>135</v>
      </c>
      <c r="E20" s="70"/>
      <c r="F20" s="29" t="s">
        <v>43</v>
      </c>
      <c r="G20" s="70"/>
    </row>
    <row r="21" spans="1:7" ht="15.75" x14ac:dyDescent="0.25">
      <c r="A21" s="80"/>
      <c r="B21" s="80"/>
      <c r="C21" s="70"/>
      <c r="D21" s="14" t="s">
        <v>136</v>
      </c>
      <c r="E21" s="70"/>
      <c r="F21" s="30" t="s">
        <v>44</v>
      </c>
      <c r="G21" s="70"/>
    </row>
    <row r="22" spans="1:7" ht="15.75" x14ac:dyDescent="0.25">
      <c r="A22" s="80"/>
      <c r="B22" s="80"/>
      <c r="C22" s="70"/>
      <c r="D22" s="14"/>
      <c r="E22" s="70"/>
      <c r="F22" s="29" t="s">
        <v>4</v>
      </c>
      <c r="G22" s="70"/>
    </row>
    <row r="23" spans="1:7" ht="15.75" x14ac:dyDescent="0.25">
      <c r="A23" s="66">
        <v>5</v>
      </c>
      <c r="B23" s="66" t="s">
        <v>11</v>
      </c>
      <c r="C23" s="71"/>
      <c r="D23" s="15" t="s">
        <v>137</v>
      </c>
      <c r="E23" s="71" t="s">
        <v>19</v>
      </c>
      <c r="F23" s="31" t="s">
        <v>47</v>
      </c>
      <c r="G23" s="20" t="s">
        <v>51</v>
      </c>
    </row>
    <row r="24" spans="1:7" ht="15.75" x14ac:dyDescent="0.25">
      <c r="A24" s="66"/>
      <c r="B24" s="66"/>
      <c r="C24" s="71"/>
      <c r="D24" s="15" t="s">
        <v>134</v>
      </c>
      <c r="E24" s="71"/>
      <c r="F24" s="31" t="s">
        <v>48</v>
      </c>
      <c r="G24" s="71" t="s">
        <v>52</v>
      </c>
    </row>
    <row r="25" spans="1:7" ht="30" x14ac:dyDescent="0.25">
      <c r="A25" s="66"/>
      <c r="B25" s="66"/>
      <c r="C25" s="71"/>
      <c r="D25" s="15" t="s">
        <v>138</v>
      </c>
      <c r="E25" s="71"/>
      <c r="F25" s="32" t="s">
        <v>49</v>
      </c>
      <c r="G25" s="71"/>
    </row>
    <row r="26" spans="1:7" ht="30" x14ac:dyDescent="0.25">
      <c r="A26" s="66"/>
      <c r="B26" s="66"/>
      <c r="C26" s="71"/>
      <c r="D26" s="15" t="s">
        <v>145</v>
      </c>
      <c r="E26" s="71"/>
      <c r="F26" s="33" t="s">
        <v>50</v>
      </c>
      <c r="G26" s="71"/>
    </row>
    <row r="27" spans="1:7" ht="15.75" x14ac:dyDescent="0.25">
      <c r="A27" s="66"/>
      <c r="B27" s="66"/>
      <c r="C27" s="71"/>
      <c r="D27" s="15"/>
      <c r="E27" s="71"/>
      <c r="F27" s="32" t="s">
        <v>4</v>
      </c>
      <c r="G27" s="71"/>
    </row>
    <row r="28" spans="1:7" ht="15.75" x14ac:dyDescent="0.25">
      <c r="A28" s="67">
        <v>6</v>
      </c>
      <c r="B28" s="67" t="s">
        <v>12</v>
      </c>
      <c r="C28" s="72"/>
      <c r="D28" s="16" t="s">
        <v>125</v>
      </c>
      <c r="E28" s="72" t="s">
        <v>20</v>
      </c>
      <c r="F28" s="34" t="s">
        <v>29</v>
      </c>
      <c r="G28" s="21" t="s">
        <v>56</v>
      </c>
    </row>
    <row r="29" spans="1:7" ht="15.75" x14ac:dyDescent="0.25">
      <c r="A29" s="67"/>
      <c r="B29" s="67"/>
      <c r="C29" s="72"/>
      <c r="D29" s="16" t="s">
        <v>139</v>
      </c>
      <c r="E29" s="72"/>
      <c r="F29" s="34" t="s">
        <v>53</v>
      </c>
      <c r="G29" s="72" t="s">
        <v>57</v>
      </c>
    </row>
    <row r="30" spans="1:7" ht="31.5" x14ac:dyDescent="0.25">
      <c r="A30" s="67"/>
      <c r="B30" s="67"/>
      <c r="C30" s="72"/>
      <c r="D30" s="16" t="s">
        <v>140</v>
      </c>
      <c r="E30" s="72"/>
      <c r="F30" s="35" t="s">
        <v>54</v>
      </c>
      <c r="G30" s="72"/>
    </row>
    <row r="31" spans="1:7" ht="30" x14ac:dyDescent="0.25">
      <c r="A31" s="67"/>
      <c r="B31" s="67"/>
      <c r="C31" s="72"/>
      <c r="D31" s="16"/>
      <c r="E31" s="72"/>
      <c r="F31" s="36" t="s">
        <v>55</v>
      </c>
      <c r="G31" s="72"/>
    </row>
    <row r="32" spans="1:7" ht="15.75" x14ac:dyDescent="0.25">
      <c r="A32" s="67"/>
      <c r="B32" s="67"/>
      <c r="C32" s="72"/>
      <c r="D32" s="16"/>
      <c r="E32" s="72"/>
      <c r="F32" s="35" t="s">
        <v>4</v>
      </c>
      <c r="G32" s="72"/>
    </row>
    <row r="33" spans="1:7" ht="15.75" x14ac:dyDescent="0.25">
      <c r="A33" s="68">
        <v>7</v>
      </c>
      <c r="B33" s="68" t="s">
        <v>13</v>
      </c>
      <c r="C33" s="73"/>
      <c r="D33" s="17" t="s">
        <v>141</v>
      </c>
      <c r="E33" s="73" t="s">
        <v>21</v>
      </c>
      <c r="F33" s="37" t="s">
        <v>58</v>
      </c>
      <c r="G33" s="55" t="s">
        <v>157</v>
      </c>
    </row>
    <row r="34" spans="1:7" ht="15.75" x14ac:dyDescent="0.25">
      <c r="A34" s="68"/>
      <c r="B34" s="68"/>
      <c r="C34" s="73"/>
      <c r="D34" s="17" t="s">
        <v>142</v>
      </c>
      <c r="E34" s="73"/>
      <c r="F34" s="37" t="s">
        <v>59</v>
      </c>
      <c r="G34" s="73" t="s">
        <v>156</v>
      </c>
    </row>
    <row r="35" spans="1:7" ht="30" x14ac:dyDescent="0.25">
      <c r="A35" s="68"/>
      <c r="B35" s="68"/>
      <c r="C35" s="73"/>
      <c r="D35" s="17" t="s">
        <v>143</v>
      </c>
      <c r="E35" s="73"/>
      <c r="F35" s="38" t="s">
        <v>60</v>
      </c>
      <c r="G35" s="73"/>
    </row>
    <row r="36" spans="1:7" ht="45" x14ac:dyDescent="0.25">
      <c r="A36" s="68"/>
      <c r="B36" s="68"/>
      <c r="C36" s="73"/>
      <c r="D36" s="17"/>
      <c r="E36" s="73"/>
      <c r="F36" s="54" t="s">
        <v>155</v>
      </c>
      <c r="G36" s="73"/>
    </row>
    <row r="37" spans="1:7" ht="15.75" x14ac:dyDescent="0.25">
      <c r="A37" s="68"/>
      <c r="B37" s="68"/>
      <c r="C37" s="73"/>
      <c r="D37" s="17"/>
      <c r="E37" s="73"/>
      <c r="F37" s="38" t="s">
        <v>4</v>
      </c>
      <c r="G37" s="73"/>
    </row>
    <row r="38" spans="1:7" ht="15.75" x14ac:dyDescent="0.25">
      <c r="A38" s="69">
        <v>8</v>
      </c>
      <c r="B38" s="69" t="s">
        <v>14</v>
      </c>
      <c r="C38" s="74"/>
      <c r="D38" s="18" t="s">
        <v>144</v>
      </c>
      <c r="E38" s="74" t="s">
        <v>22</v>
      </c>
      <c r="F38" s="39" t="s">
        <v>29</v>
      </c>
      <c r="G38" s="22" t="s">
        <v>64</v>
      </c>
    </row>
    <row r="39" spans="1:7" ht="15.75" customHeight="1" x14ac:dyDescent="0.25">
      <c r="A39" s="69"/>
      <c r="B39" s="69"/>
      <c r="C39" s="74"/>
      <c r="D39" s="18" t="s">
        <v>145</v>
      </c>
      <c r="E39" s="74"/>
      <c r="F39" s="39" t="s">
        <v>61</v>
      </c>
      <c r="G39" s="74" t="s">
        <v>65</v>
      </c>
    </row>
    <row r="40" spans="1:7" ht="30" x14ac:dyDescent="0.25">
      <c r="A40" s="69"/>
      <c r="B40" s="69"/>
      <c r="C40" s="74"/>
      <c r="D40" s="18" t="s">
        <v>146</v>
      </c>
      <c r="E40" s="74"/>
      <c r="F40" s="40" t="s">
        <v>62</v>
      </c>
      <c r="G40" s="74"/>
    </row>
    <row r="41" spans="1:7" ht="45" x14ac:dyDescent="0.25">
      <c r="A41" s="69"/>
      <c r="B41" s="69"/>
      <c r="C41" s="74"/>
      <c r="D41" s="18"/>
      <c r="E41" s="74"/>
      <c r="F41" s="41" t="s">
        <v>63</v>
      </c>
      <c r="G41" s="74"/>
    </row>
    <row r="42" spans="1:7" ht="15.75" customHeight="1" x14ac:dyDescent="0.25">
      <c r="A42" s="69"/>
      <c r="B42" s="69"/>
      <c r="C42" s="74"/>
      <c r="D42" s="18"/>
      <c r="E42" s="74"/>
      <c r="F42" s="40" t="s">
        <v>4</v>
      </c>
      <c r="G42" s="74"/>
    </row>
  </sheetData>
  <mergeCells count="41">
    <mergeCell ref="B38:B42"/>
    <mergeCell ref="C3:C7"/>
    <mergeCell ref="C8:C12"/>
    <mergeCell ref="C13:C17"/>
    <mergeCell ref="C18:C22"/>
    <mergeCell ref="C23:C27"/>
    <mergeCell ref="C28:C32"/>
    <mergeCell ref="C33:C37"/>
    <mergeCell ref="B3:B7"/>
    <mergeCell ref="B8:B12"/>
    <mergeCell ref="B13:B17"/>
    <mergeCell ref="B18:B22"/>
    <mergeCell ref="B23:B27"/>
    <mergeCell ref="A1:G1"/>
    <mergeCell ref="A3:A7"/>
    <mergeCell ref="A8:A12"/>
    <mergeCell ref="A13:A17"/>
    <mergeCell ref="A18:A22"/>
    <mergeCell ref="G9:G12"/>
    <mergeCell ref="G14:G17"/>
    <mergeCell ref="E3:E7"/>
    <mergeCell ref="E8:E12"/>
    <mergeCell ref="E13:E17"/>
    <mergeCell ref="E18:E22"/>
    <mergeCell ref="G4:G7"/>
    <mergeCell ref="A23:A27"/>
    <mergeCell ref="A28:A32"/>
    <mergeCell ref="A33:A37"/>
    <mergeCell ref="A38:A42"/>
    <mergeCell ref="G19:G22"/>
    <mergeCell ref="G24:G27"/>
    <mergeCell ref="G29:G32"/>
    <mergeCell ref="G34:G37"/>
    <mergeCell ref="G39:G42"/>
    <mergeCell ref="C38:C42"/>
    <mergeCell ref="E23:E27"/>
    <mergeCell ref="E28:E32"/>
    <mergeCell ref="E33:E37"/>
    <mergeCell ref="E38:E42"/>
    <mergeCell ref="B28:B32"/>
    <mergeCell ref="B33:B3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C0041-2520-4008-93A1-D3D581978BD9}">
  <dimension ref="A1:G56"/>
  <sheetViews>
    <sheetView zoomScaleNormal="100" workbookViewId="0">
      <selection activeCell="E3" sqref="E3:E8"/>
    </sheetView>
  </sheetViews>
  <sheetFormatPr defaultRowHeight="15" x14ac:dyDescent="0.25"/>
  <cols>
    <col min="1" max="1" width="4.140625" bestFit="1" customWidth="1"/>
    <col min="2" max="2" width="22.42578125" style="2" customWidth="1"/>
    <col min="3" max="4" width="18.7109375" style="46" customWidth="1"/>
    <col min="5" max="5" width="5.42578125" style="50" customWidth="1"/>
    <col min="6" max="6" width="29.28515625" customWidth="1"/>
    <col min="7" max="7" width="17" bestFit="1" customWidth="1"/>
  </cols>
  <sheetData>
    <row r="1" spans="1:7" ht="18.75" x14ac:dyDescent="0.3">
      <c r="A1" s="98" t="s">
        <v>6</v>
      </c>
      <c r="B1" s="98"/>
      <c r="C1" s="98"/>
      <c r="D1" s="98"/>
      <c r="E1" s="98"/>
      <c r="F1" s="98"/>
      <c r="G1" s="98"/>
    </row>
    <row r="2" spans="1:7" ht="18.75" x14ac:dyDescent="0.3">
      <c r="A2" s="42" t="s">
        <v>66</v>
      </c>
      <c r="B2" s="44" t="s">
        <v>0</v>
      </c>
      <c r="C2" s="45" t="s">
        <v>67</v>
      </c>
      <c r="D2" s="89" t="s">
        <v>68</v>
      </c>
      <c r="E2" s="90"/>
      <c r="F2" s="3" t="s">
        <v>69</v>
      </c>
      <c r="G2" s="3" t="s">
        <v>70</v>
      </c>
    </row>
    <row r="3" spans="1:7" x14ac:dyDescent="0.25">
      <c r="A3" s="94">
        <v>1</v>
      </c>
      <c r="B3" s="93" t="s">
        <v>151</v>
      </c>
      <c r="C3" s="51" t="s">
        <v>71</v>
      </c>
      <c r="D3" s="47" t="s">
        <v>79</v>
      </c>
      <c r="E3" s="48"/>
      <c r="F3" s="43" t="s">
        <v>109</v>
      </c>
      <c r="G3" s="92"/>
    </row>
    <row r="4" spans="1:7" x14ac:dyDescent="0.25">
      <c r="A4" s="94"/>
      <c r="B4" s="93"/>
      <c r="C4" s="91" t="s">
        <v>98</v>
      </c>
      <c r="D4" s="47" t="s">
        <v>80</v>
      </c>
      <c r="E4" s="48"/>
      <c r="F4" s="43"/>
      <c r="G4" s="92"/>
    </row>
    <row r="5" spans="1:7" x14ac:dyDescent="0.25">
      <c r="A5" s="94"/>
      <c r="B5" s="93"/>
      <c r="C5" s="91"/>
      <c r="D5" s="47" t="s">
        <v>81</v>
      </c>
      <c r="E5" s="48"/>
      <c r="F5" s="43"/>
      <c r="G5" s="92"/>
    </row>
    <row r="6" spans="1:7" x14ac:dyDescent="0.25">
      <c r="A6" s="94">
        <v>2</v>
      </c>
      <c r="B6" s="93" t="s">
        <v>150</v>
      </c>
      <c r="C6" s="52" t="s">
        <v>71</v>
      </c>
      <c r="D6" s="47" t="s">
        <v>79</v>
      </c>
      <c r="E6" s="49"/>
      <c r="F6" s="43" t="s">
        <v>78</v>
      </c>
      <c r="G6" s="92"/>
    </row>
    <row r="7" spans="1:7" x14ac:dyDescent="0.25">
      <c r="A7" s="94"/>
      <c r="B7" s="93"/>
      <c r="C7" s="91" t="s">
        <v>75</v>
      </c>
      <c r="D7" s="47" t="s">
        <v>80</v>
      </c>
      <c r="E7" s="49"/>
      <c r="F7" s="43"/>
      <c r="G7" s="92"/>
    </row>
    <row r="8" spans="1:7" x14ac:dyDescent="0.25">
      <c r="A8" s="94"/>
      <c r="B8" s="93"/>
      <c r="C8" s="91"/>
      <c r="D8" s="47" t="s">
        <v>81</v>
      </c>
      <c r="E8" s="49"/>
      <c r="F8" s="43"/>
      <c r="G8" s="92"/>
    </row>
    <row r="9" spans="1:7" x14ac:dyDescent="0.25">
      <c r="A9" s="94">
        <v>3</v>
      </c>
      <c r="B9" s="93" t="s">
        <v>73</v>
      </c>
      <c r="C9" s="53" t="s">
        <v>72</v>
      </c>
      <c r="D9" s="47" t="s">
        <v>79</v>
      </c>
      <c r="E9" s="49"/>
      <c r="F9" s="43" t="s">
        <v>149</v>
      </c>
      <c r="G9" s="92"/>
    </row>
    <row r="10" spans="1:7" x14ac:dyDescent="0.25">
      <c r="A10" s="94"/>
      <c r="B10" s="93"/>
      <c r="C10" s="91" t="s">
        <v>103</v>
      </c>
      <c r="D10" s="47" t="s">
        <v>80</v>
      </c>
      <c r="E10" s="49"/>
      <c r="F10" s="43"/>
      <c r="G10" s="92"/>
    </row>
    <row r="11" spans="1:7" x14ac:dyDescent="0.25">
      <c r="A11" s="94"/>
      <c r="B11" s="93"/>
      <c r="C11" s="91"/>
      <c r="D11" s="47" t="s">
        <v>81</v>
      </c>
      <c r="E11" s="49"/>
      <c r="F11" s="43"/>
      <c r="G11" s="92"/>
    </row>
    <row r="12" spans="1:7" x14ac:dyDescent="0.25">
      <c r="A12" s="94">
        <v>4</v>
      </c>
      <c r="B12" s="93" t="s">
        <v>74</v>
      </c>
      <c r="C12" s="53" t="s">
        <v>72</v>
      </c>
      <c r="D12" s="47" t="s">
        <v>79</v>
      </c>
      <c r="E12" s="49"/>
      <c r="F12" s="43" t="s">
        <v>77</v>
      </c>
      <c r="G12" s="92"/>
    </row>
    <row r="13" spans="1:7" x14ac:dyDescent="0.25">
      <c r="A13" s="94"/>
      <c r="B13" s="93"/>
      <c r="C13" s="91" t="s">
        <v>76</v>
      </c>
      <c r="D13" s="47" t="s">
        <v>80</v>
      </c>
      <c r="E13" s="49"/>
      <c r="F13" s="43"/>
      <c r="G13" s="92"/>
    </row>
    <row r="14" spans="1:7" x14ac:dyDescent="0.25">
      <c r="A14" s="94"/>
      <c r="B14" s="93"/>
      <c r="C14" s="91"/>
      <c r="D14" s="47" t="s">
        <v>81</v>
      </c>
      <c r="E14" s="49"/>
      <c r="F14" s="43"/>
      <c r="G14" s="92"/>
    </row>
    <row r="15" spans="1:7" x14ac:dyDescent="0.25">
      <c r="A15" s="94">
        <v>5</v>
      </c>
      <c r="B15" s="93" t="s">
        <v>100</v>
      </c>
      <c r="C15" s="51" t="s">
        <v>82</v>
      </c>
      <c r="D15" s="47" t="s">
        <v>79</v>
      </c>
      <c r="E15" s="49"/>
      <c r="F15" s="43" t="s">
        <v>122</v>
      </c>
      <c r="G15" s="92"/>
    </row>
    <row r="16" spans="1:7" x14ac:dyDescent="0.25">
      <c r="A16" s="94"/>
      <c r="B16" s="93"/>
      <c r="C16" s="87" t="s">
        <v>99</v>
      </c>
      <c r="D16" s="47" t="s">
        <v>80</v>
      </c>
      <c r="E16" s="49"/>
      <c r="F16" s="43"/>
      <c r="G16" s="92"/>
    </row>
    <row r="17" spans="1:7" x14ac:dyDescent="0.25">
      <c r="A17" s="94"/>
      <c r="B17" s="93"/>
      <c r="C17" s="88"/>
      <c r="D17" s="47" t="s">
        <v>81</v>
      </c>
      <c r="E17" s="49"/>
      <c r="F17" s="43"/>
      <c r="G17" s="92"/>
    </row>
    <row r="18" spans="1:7" x14ac:dyDescent="0.25">
      <c r="A18" s="94">
        <v>6</v>
      </c>
      <c r="B18" s="93" t="s">
        <v>104</v>
      </c>
      <c r="C18" s="51" t="s">
        <v>72</v>
      </c>
      <c r="D18" s="47" t="s">
        <v>79</v>
      </c>
      <c r="E18" s="49"/>
      <c r="F18" s="43" t="s">
        <v>121</v>
      </c>
      <c r="G18" s="92"/>
    </row>
    <row r="19" spans="1:7" x14ac:dyDescent="0.25">
      <c r="A19" s="94"/>
      <c r="B19" s="93"/>
      <c r="C19" s="87" t="s">
        <v>99</v>
      </c>
      <c r="D19" s="47" t="s">
        <v>80</v>
      </c>
      <c r="E19" s="49"/>
      <c r="F19" s="43"/>
      <c r="G19" s="92"/>
    </row>
    <row r="20" spans="1:7" x14ac:dyDescent="0.25">
      <c r="A20" s="94"/>
      <c r="B20" s="93"/>
      <c r="C20" s="88"/>
      <c r="D20" s="47" t="s">
        <v>81</v>
      </c>
      <c r="E20" s="49"/>
      <c r="F20" s="43"/>
      <c r="G20" s="92"/>
    </row>
    <row r="21" spans="1:7" x14ac:dyDescent="0.25">
      <c r="A21" s="94">
        <v>7</v>
      </c>
      <c r="B21" s="93" t="s">
        <v>152</v>
      </c>
      <c r="C21" s="51" t="s">
        <v>82</v>
      </c>
      <c r="D21" s="47" t="s">
        <v>79</v>
      </c>
      <c r="E21" s="49"/>
      <c r="F21" s="43" t="s">
        <v>77</v>
      </c>
      <c r="G21" s="92"/>
    </row>
    <row r="22" spans="1:7" x14ac:dyDescent="0.25">
      <c r="A22" s="94"/>
      <c r="B22" s="93"/>
      <c r="C22" s="87" t="s">
        <v>99</v>
      </c>
      <c r="D22" s="47" t="s">
        <v>80</v>
      </c>
      <c r="E22" s="49"/>
      <c r="F22" s="43" t="s">
        <v>120</v>
      </c>
      <c r="G22" s="92"/>
    </row>
    <row r="23" spans="1:7" x14ac:dyDescent="0.25">
      <c r="A23" s="94"/>
      <c r="B23" s="93"/>
      <c r="C23" s="88"/>
      <c r="D23" s="47" t="s">
        <v>81</v>
      </c>
      <c r="E23" s="49"/>
      <c r="F23" s="43"/>
      <c r="G23" s="92"/>
    </row>
    <row r="24" spans="1:7" x14ac:dyDescent="0.25">
      <c r="A24" s="94">
        <v>8</v>
      </c>
      <c r="B24" s="93" t="s">
        <v>101</v>
      </c>
      <c r="C24" s="51" t="s">
        <v>82</v>
      </c>
      <c r="D24" s="47" t="s">
        <v>79</v>
      </c>
      <c r="E24" s="49"/>
      <c r="F24" s="43" t="s">
        <v>77</v>
      </c>
      <c r="G24" s="92"/>
    </row>
    <row r="25" spans="1:7" x14ac:dyDescent="0.25">
      <c r="A25" s="94"/>
      <c r="B25" s="93"/>
      <c r="C25" s="87" t="s">
        <v>99</v>
      </c>
      <c r="D25" s="47" t="s">
        <v>80</v>
      </c>
      <c r="E25" s="49"/>
      <c r="F25" s="43" t="s">
        <v>115</v>
      </c>
      <c r="G25" s="92"/>
    </row>
    <row r="26" spans="1:7" x14ac:dyDescent="0.25">
      <c r="A26" s="94"/>
      <c r="B26" s="93"/>
      <c r="C26" s="88"/>
      <c r="D26" s="47" t="s">
        <v>81</v>
      </c>
      <c r="E26" s="49"/>
      <c r="F26" s="43"/>
      <c r="G26" s="92"/>
    </row>
    <row r="27" spans="1:7" x14ac:dyDescent="0.25">
      <c r="A27" s="94">
        <v>9</v>
      </c>
      <c r="B27" s="93" t="s">
        <v>105</v>
      </c>
      <c r="C27" s="51" t="s">
        <v>83</v>
      </c>
      <c r="D27" s="47" t="s">
        <v>79</v>
      </c>
      <c r="E27" s="49"/>
      <c r="F27" s="43" t="s">
        <v>106</v>
      </c>
      <c r="G27" s="92"/>
    </row>
    <row r="28" spans="1:7" x14ac:dyDescent="0.25">
      <c r="A28" s="94"/>
      <c r="B28" s="93"/>
      <c r="C28" s="87" t="s">
        <v>99</v>
      </c>
      <c r="D28" s="47" t="s">
        <v>80</v>
      </c>
      <c r="E28" s="49"/>
      <c r="F28" s="43"/>
      <c r="G28" s="92"/>
    </row>
    <row r="29" spans="1:7" x14ac:dyDescent="0.25">
      <c r="A29" s="94"/>
      <c r="B29" s="93"/>
      <c r="C29" s="88"/>
      <c r="D29" s="47" t="s">
        <v>81</v>
      </c>
      <c r="E29" s="49"/>
      <c r="F29" s="43"/>
      <c r="G29" s="92"/>
    </row>
    <row r="30" spans="1:7" x14ac:dyDescent="0.25">
      <c r="A30" s="94">
        <v>10</v>
      </c>
      <c r="B30" s="95" t="s">
        <v>153</v>
      </c>
      <c r="C30" s="51" t="s">
        <v>87</v>
      </c>
      <c r="D30" s="47" t="s">
        <v>79</v>
      </c>
      <c r="E30" s="49"/>
      <c r="F30" s="43" t="s">
        <v>118</v>
      </c>
      <c r="G30" s="92"/>
    </row>
    <row r="31" spans="1:7" x14ac:dyDescent="0.25">
      <c r="A31" s="94"/>
      <c r="B31" s="96"/>
      <c r="C31" s="87" t="s">
        <v>99</v>
      </c>
      <c r="D31" s="47" t="s">
        <v>80</v>
      </c>
      <c r="E31" s="49"/>
      <c r="F31" s="43" t="s">
        <v>119</v>
      </c>
      <c r="G31" s="92"/>
    </row>
    <row r="32" spans="1:7" x14ac:dyDescent="0.25">
      <c r="A32" s="94"/>
      <c r="B32" s="97"/>
      <c r="C32" s="88"/>
      <c r="D32" s="47" t="s">
        <v>81</v>
      </c>
      <c r="E32" s="49"/>
      <c r="F32" s="43"/>
      <c r="G32" s="92"/>
    </row>
    <row r="33" spans="1:7" x14ac:dyDescent="0.25">
      <c r="A33" s="94">
        <v>11</v>
      </c>
      <c r="B33" s="93" t="s">
        <v>154</v>
      </c>
      <c r="C33" s="51" t="s">
        <v>83</v>
      </c>
      <c r="D33" s="47" t="s">
        <v>79</v>
      </c>
      <c r="E33" s="49"/>
      <c r="F33" s="43" t="s">
        <v>147</v>
      </c>
      <c r="G33" s="92"/>
    </row>
    <row r="34" spans="1:7" x14ac:dyDescent="0.25">
      <c r="A34" s="94"/>
      <c r="B34" s="93"/>
      <c r="C34" s="87" t="s">
        <v>99</v>
      </c>
      <c r="D34" s="47" t="s">
        <v>80</v>
      </c>
      <c r="E34" s="49"/>
      <c r="F34" s="43"/>
      <c r="G34" s="92"/>
    </row>
    <row r="35" spans="1:7" x14ac:dyDescent="0.25">
      <c r="A35" s="94"/>
      <c r="B35" s="93"/>
      <c r="C35" s="88"/>
      <c r="D35" s="47" t="s">
        <v>81</v>
      </c>
      <c r="E35" s="49"/>
      <c r="F35" s="43"/>
      <c r="G35" s="92"/>
    </row>
    <row r="36" spans="1:7" x14ac:dyDescent="0.25">
      <c r="A36" s="94">
        <v>12</v>
      </c>
      <c r="B36" s="93" t="s">
        <v>108</v>
      </c>
      <c r="C36" s="51" t="s">
        <v>83</v>
      </c>
      <c r="D36" s="47" t="s">
        <v>79</v>
      </c>
      <c r="E36" s="49"/>
      <c r="F36" s="43" t="s">
        <v>116</v>
      </c>
      <c r="G36" s="92"/>
    </row>
    <row r="37" spans="1:7" x14ac:dyDescent="0.25">
      <c r="A37" s="94"/>
      <c r="B37" s="93"/>
      <c r="C37" s="87" t="s">
        <v>107</v>
      </c>
      <c r="D37" s="47" t="s">
        <v>80</v>
      </c>
      <c r="E37" s="49"/>
      <c r="F37" s="43" t="s">
        <v>115</v>
      </c>
      <c r="G37" s="92"/>
    </row>
    <row r="38" spans="1:7" x14ac:dyDescent="0.25">
      <c r="A38" s="94"/>
      <c r="B38" s="93"/>
      <c r="C38" s="88"/>
      <c r="D38" s="47" t="s">
        <v>81</v>
      </c>
      <c r="E38" s="49"/>
      <c r="F38" s="43"/>
      <c r="G38" s="92"/>
    </row>
    <row r="39" spans="1:7" x14ac:dyDescent="0.25">
      <c r="A39" s="94">
        <v>13</v>
      </c>
      <c r="B39" s="93" t="s">
        <v>102</v>
      </c>
      <c r="C39" s="51" t="s">
        <v>87</v>
      </c>
      <c r="D39" s="47" t="s">
        <v>79</v>
      </c>
      <c r="E39" s="49"/>
      <c r="F39" s="43" t="s">
        <v>113</v>
      </c>
      <c r="G39" s="92"/>
    </row>
    <row r="40" spans="1:7" x14ac:dyDescent="0.25">
      <c r="A40" s="94"/>
      <c r="B40" s="93"/>
      <c r="C40" s="87" t="s">
        <v>107</v>
      </c>
      <c r="D40" s="47" t="s">
        <v>80</v>
      </c>
      <c r="E40" s="49"/>
      <c r="F40" s="43" t="s">
        <v>114</v>
      </c>
      <c r="G40" s="92"/>
    </row>
    <row r="41" spans="1:7" x14ac:dyDescent="0.25">
      <c r="A41" s="94"/>
      <c r="B41" s="93"/>
      <c r="C41" s="88"/>
      <c r="D41" s="47" t="s">
        <v>81</v>
      </c>
      <c r="E41" s="49"/>
      <c r="F41" s="43"/>
      <c r="G41" s="92"/>
    </row>
    <row r="42" spans="1:7" x14ac:dyDescent="0.25">
      <c r="A42" s="94">
        <v>14</v>
      </c>
      <c r="B42" s="93" t="s">
        <v>92</v>
      </c>
      <c r="C42" s="51" t="s">
        <v>86</v>
      </c>
      <c r="D42" s="47" t="s">
        <v>79</v>
      </c>
      <c r="E42" s="49"/>
      <c r="F42" s="43" t="s">
        <v>112</v>
      </c>
      <c r="G42" s="92"/>
    </row>
    <row r="43" spans="1:7" x14ac:dyDescent="0.25">
      <c r="A43" s="94"/>
      <c r="B43" s="93"/>
      <c r="C43" s="87" t="s">
        <v>93</v>
      </c>
      <c r="D43" s="47" t="s">
        <v>80</v>
      </c>
      <c r="E43" s="49"/>
      <c r="F43" s="43" t="s">
        <v>117</v>
      </c>
      <c r="G43" s="92"/>
    </row>
    <row r="44" spans="1:7" x14ac:dyDescent="0.25">
      <c r="A44" s="94"/>
      <c r="B44" s="93"/>
      <c r="C44" s="88"/>
      <c r="D44" s="47" t="s">
        <v>81</v>
      </c>
      <c r="E44" s="49"/>
      <c r="F44" s="43" t="s">
        <v>148</v>
      </c>
      <c r="G44" s="92"/>
    </row>
    <row r="45" spans="1:7" x14ac:dyDescent="0.25">
      <c r="A45" s="94">
        <v>15</v>
      </c>
      <c r="B45" s="93" t="s">
        <v>91</v>
      </c>
      <c r="C45" s="51" t="s">
        <v>85</v>
      </c>
      <c r="D45" s="47" t="s">
        <v>79</v>
      </c>
      <c r="E45" s="49"/>
      <c r="F45" s="43" t="s">
        <v>97</v>
      </c>
      <c r="G45" s="92"/>
    </row>
    <row r="46" spans="1:7" x14ac:dyDescent="0.25">
      <c r="A46" s="94"/>
      <c r="B46" s="93"/>
      <c r="C46" s="87" t="s">
        <v>93</v>
      </c>
      <c r="D46" s="47" t="s">
        <v>80</v>
      </c>
      <c r="E46" s="49"/>
      <c r="F46" s="43"/>
      <c r="G46" s="92"/>
    </row>
    <row r="47" spans="1:7" x14ac:dyDescent="0.25">
      <c r="A47" s="94"/>
      <c r="B47" s="93"/>
      <c r="C47" s="88"/>
      <c r="D47" s="47" t="s">
        <v>81</v>
      </c>
      <c r="E47" s="49"/>
      <c r="F47" s="43"/>
      <c r="G47" s="92"/>
    </row>
    <row r="48" spans="1:7" x14ac:dyDescent="0.25">
      <c r="A48" s="94">
        <v>16</v>
      </c>
      <c r="B48" s="93" t="s">
        <v>90</v>
      </c>
      <c r="C48" s="51" t="s">
        <v>85</v>
      </c>
      <c r="D48" s="47" t="s">
        <v>79</v>
      </c>
      <c r="E48" s="49"/>
      <c r="F48" s="43" t="s">
        <v>110</v>
      </c>
      <c r="G48" s="92"/>
    </row>
    <row r="49" spans="1:7" x14ac:dyDescent="0.25">
      <c r="A49" s="94"/>
      <c r="B49" s="93"/>
      <c r="C49" s="87" t="s">
        <v>93</v>
      </c>
      <c r="D49" s="47" t="s">
        <v>80</v>
      </c>
      <c r="E49" s="49">
        <v>0</v>
      </c>
      <c r="F49" s="43" t="s">
        <v>96</v>
      </c>
      <c r="G49" s="92"/>
    </row>
    <row r="50" spans="1:7" x14ac:dyDescent="0.25">
      <c r="A50" s="94"/>
      <c r="B50" s="93"/>
      <c r="C50" s="88"/>
      <c r="D50" s="47" t="s">
        <v>81</v>
      </c>
      <c r="E50" s="49"/>
      <c r="F50" s="43"/>
      <c r="G50" s="92"/>
    </row>
    <row r="51" spans="1:7" x14ac:dyDescent="0.25">
      <c r="A51" s="94">
        <v>17</v>
      </c>
      <c r="B51" s="93" t="s">
        <v>89</v>
      </c>
      <c r="C51" s="51" t="s">
        <v>84</v>
      </c>
      <c r="D51" s="47" t="s">
        <v>79</v>
      </c>
      <c r="E51" s="49"/>
      <c r="F51" s="43" t="s">
        <v>111</v>
      </c>
      <c r="G51" s="92"/>
    </row>
    <row r="52" spans="1:7" x14ac:dyDescent="0.25">
      <c r="A52" s="94"/>
      <c r="B52" s="93"/>
      <c r="C52" s="87" t="s">
        <v>93</v>
      </c>
      <c r="D52" s="47" t="s">
        <v>80</v>
      </c>
      <c r="E52" s="49"/>
      <c r="F52" s="43"/>
      <c r="G52" s="92"/>
    </row>
    <row r="53" spans="1:7" x14ac:dyDescent="0.25">
      <c r="A53" s="94"/>
      <c r="B53" s="93"/>
      <c r="C53" s="88"/>
      <c r="D53" s="47" t="s">
        <v>81</v>
      </c>
      <c r="E53" s="49"/>
      <c r="F53" s="43"/>
      <c r="G53" s="92"/>
    </row>
    <row r="54" spans="1:7" x14ac:dyDescent="0.25">
      <c r="A54" s="94">
        <v>18</v>
      </c>
      <c r="B54" s="93" t="s">
        <v>88</v>
      </c>
      <c r="C54" s="51" t="s">
        <v>84</v>
      </c>
      <c r="D54" s="47" t="s">
        <v>79</v>
      </c>
      <c r="E54" s="49"/>
      <c r="F54" s="43" t="s">
        <v>94</v>
      </c>
      <c r="G54" s="92"/>
    </row>
    <row r="55" spans="1:7" x14ac:dyDescent="0.25">
      <c r="A55" s="94"/>
      <c r="B55" s="93"/>
      <c r="C55" s="87" t="s">
        <v>93</v>
      </c>
      <c r="D55" s="47" t="s">
        <v>80</v>
      </c>
      <c r="E55" s="49"/>
      <c r="F55" s="43" t="s">
        <v>95</v>
      </c>
      <c r="G55" s="92"/>
    </row>
    <row r="56" spans="1:7" x14ac:dyDescent="0.25">
      <c r="A56" s="94"/>
      <c r="B56" s="93"/>
      <c r="C56" s="88"/>
      <c r="D56" s="47" t="s">
        <v>81</v>
      </c>
      <c r="E56" s="49"/>
      <c r="F56" s="43"/>
      <c r="G56" s="92"/>
    </row>
  </sheetData>
  <mergeCells count="74">
    <mergeCell ref="A24:A26"/>
    <mergeCell ref="A1:G1"/>
    <mergeCell ref="A3:A5"/>
    <mergeCell ref="A6:A8"/>
    <mergeCell ref="B3:B5"/>
    <mergeCell ref="B6:B8"/>
    <mergeCell ref="A9:A11"/>
    <mergeCell ref="A12:A14"/>
    <mergeCell ref="A15:A17"/>
    <mergeCell ref="A18:A20"/>
    <mergeCell ref="A21:A23"/>
    <mergeCell ref="C4:C5"/>
    <mergeCell ref="B9:B11"/>
    <mergeCell ref="B12:B14"/>
    <mergeCell ref="B15:B17"/>
    <mergeCell ref="B18:B20"/>
    <mergeCell ref="G27:G29"/>
    <mergeCell ref="A54:A56"/>
    <mergeCell ref="A27:A29"/>
    <mergeCell ref="A30:A32"/>
    <mergeCell ref="A33:A35"/>
    <mergeCell ref="A36:A38"/>
    <mergeCell ref="A39:A41"/>
    <mergeCell ref="A42:A44"/>
    <mergeCell ref="A45:A47"/>
    <mergeCell ref="A48:A50"/>
    <mergeCell ref="A51:A53"/>
    <mergeCell ref="C31:C32"/>
    <mergeCell ref="C34:C35"/>
    <mergeCell ref="B27:B29"/>
    <mergeCell ref="B30:B32"/>
    <mergeCell ref="B33:B35"/>
    <mergeCell ref="B39:B41"/>
    <mergeCell ref="B36:B38"/>
    <mergeCell ref="G3:G5"/>
    <mergeCell ref="G6:G8"/>
    <mergeCell ref="G9:G11"/>
    <mergeCell ref="G12:G14"/>
    <mergeCell ref="G15:G17"/>
    <mergeCell ref="G30:G32"/>
    <mergeCell ref="G33:G35"/>
    <mergeCell ref="G36:G38"/>
    <mergeCell ref="G39:G41"/>
    <mergeCell ref="B21:B23"/>
    <mergeCell ref="B24:B26"/>
    <mergeCell ref="G18:G20"/>
    <mergeCell ref="G21:G23"/>
    <mergeCell ref="G24:G26"/>
    <mergeCell ref="B54:B56"/>
    <mergeCell ref="B42:B44"/>
    <mergeCell ref="B45:B47"/>
    <mergeCell ref="B48:B50"/>
    <mergeCell ref="B51:B53"/>
    <mergeCell ref="G42:G44"/>
    <mergeCell ref="G45:G47"/>
    <mergeCell ref="G48:G50"/>
    <mergeCell ref="G51:G53"/>
    <mergeCell ref="G54:G56"/>
    <mergeCell ref="C55:C56"/>
    <mergeCell ref="D2:E2"/>
    <mergeCell ref="C37:C38"/>
    <mergeCell ref="C40:C41"/>
    <mergeCell ref="C43:C44"/>
    <mergeCell ref="C46:C47"/>
    <mergeCell ref="C49:C50"/>
    <mergeCell ref="C52:C53"/>
    <mergeCell ref="C7:C8"/>
    <mergeCell ref="C10:C11"/>
    <mergeCell ref="C13:C14"/>
    <mergeCell ref="C16:C17"/>
    <mergeCell ref="C19:C20"/>
    <mergeCell ref="C22:C23"/>
    <mergeCell ref="C25:C26"/>
    <mergeCell ref="C28:C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245DE-3A38-45B1-AED2-B529B7A0614F}">
  <dimension ref="A1:F9"/>
  <sheetViews>
    <sheetView workbookViewId="0">
      <selection activeCell="E13" sqref="E13"/>
    </sheetView>
  </sheetViews>
  <sheetFormatPr defaultRowHeight="15" x14ac:dyDescent="0.25"/>
  <cols>
    <col min="1" max="1" width="4" bestFit="1" customWidth="1"/>
    <col min="2" max="2" width="32.28515625" customWidth="1"/>
    <col min="3" max="3" width="10.42578125" bestFit="1" customWidth="1"/>
    <col min="4" max="4" width="11.7109375" bestFit="1" customWidth="1"/>
    <col min="5" max="5" width="14.42578125" customWidth="1"/>
    <col min="6" max="6" width="12" customWidth="1"/>
  </cols>
  <sheetData>
    <row r="1" spans="1:6" ht="19.5" thickBot="1" x14ac:dyDescent="0.3">
      <c r="A1" s="56" t="s">
        <v>66</v>
      </c>
      <c r="B1" s="57" t="s">
        <v>160</v>
      </c>
      <c r="C1" s="57" t="s">
        <v>161</v>
      </c>
      <c r="D1" s="57" t="s">
        <v>162</v>
      </c>
      <c r="E1" s="57" t="s">
        <v>184</v>
      </c>
      <c r="F1" s="57" t="s">
        <v>185</v>
      </c>
    </row>
    <row r="2" spans="1:6" ht="19.5" thickBot="1" x14ac:dyDescent="0.3">
      <c r="A2" s="58">
        <v>1</v>
      </c>
      <c r="B2" s="59" t="s">
        <v>178</v>
      </c>
      <c r="C2" s="59">
        <f>5*Значения!C2</f>
        <v>20</v>
      </c>
      <c r="D2" s="59">
        <v>0</v>
      </c>
      <c r="E2" s="59">
        <f>SUM(C2:D2)</f>
        <v>20</v>
      </c>
      <c r="F2" s="57">
        <f>E2</f>
        <v>20</v>
      </c>
    </row>
    <row r="3" spans="1:6" ht="19.5" thickBot="1" x14ac:dyDescent="0.3">
      <c r="A3" s="58">
        <v>2</v>
      </c>
      <c r="B3" s="59" t="s">
        <v>163</v>
      </c>
      <c r="C3" s="59">
        <f>20*Значения!C2</f>
        <v>80</v>
      </c>
      <c r="D3" s="59">
        <v>15</v>
      </c>
      <c r="E3" s="59">
        <f t="shared" ref="E3:E8" si="0">SUM(C3:D3)</f>
        <v>95</v>
      </c>
      <c r="F3" s="57">
        <f>E3+F2</f>
        <v>115</v>
      </c>
    </row>
    <row r="4" spans="1:6" ht="19.5" thickBot="1" x14ac:dyDescent="0.3">
      <c r="A4" s="58">
        <v>3</v>
      </c>
      <c r="B4" s="59" t="s">
        <v>179</v>
      </c>
      <c r="C4" s="59">
        <f>15*Значения!C2+6*Значения!C3</f>
        <v>96</v>
      </c>
      <c r="D4" s="59">
        <v>25</v>
      </c>
      <c r="E4" s="59">
        <f t="shared" si="0"/>
        <v>121</v>
      </c>
      <c r="F4" s="57">
        <f t="shared" ref="F4:F8" si="1">E4+F3</f>
        <v>236</v>
      </c>
    </row>
    <row r="5" spans="1:6" ht="19.5" thickBot="1" x14ac:dyDescent="0.3">
      <c r="A5" s="58">
        <v>4</v>
      </c>
      <c r="B5" s="59" t="s">
        <v>180</v>
      </c>
      <c r="C5" s="59">
        <f>18*Значения!C2+6*Значения!C3+2*Значения!C4</f>
        <v>148</v>
      </c>
      <c r="D5" s="59">
        <v>35</v>
      </c>
      <c r="E5" s="59">
        <f t="shared" si="0"/>
        <v>183</v>
      </c>
      <c r="F5" s="57">
        <f t="shared" si="1"/>
        <v>419</v>
      </c>
    </row>
    <row r="6" spans="1:6" ht="19.5" thickBot="1" x14ac:dyDescent="0.3">
      <c r="A6" s="58">
        <v>5</v>
      </c>
      <c r="B6" s="59" t="s">
        <v>181</v>
      </c>
      <c r="C6" s="59">
        <f>12*Значения!C2+4*Значения!C3+7*Значения!C4</f>
        <v>212</v>
      </c>
      <c r="D6" s="59">
        <v>45</v>
      </c>
      <c r="E6" s="59">
        <f t="shared" si="0"/>
        <v>257</v>
      </c>
      <c r="F6" s="57">
        <f t="shared" si="1"/>
        <v>676</v>
      </c>
    </row>
    <row r="7" spans="1:6" ht="19.5" thickBot="1" x14ac:dyDescent="0.3">
      <c r="A7" s="58">
        <v>6</v>
      </c>
      <c r="B7" s="59" t="s">
        <v>182</v>
      </c>
      <c r="C7" s="59">
        <f>8*Значения!C2+0*Значения!C3+6*Значения!C4+1*Значения!C5</f>
        <v>192</v>
      </c>
      <c r="D7" s="59">
        <v>55</v>
      </c>
      <c r="E7" s="59">
        <f t="shared" si="0"/>
        <v>247</v>
      </c>
      <c r="F7" s="57">
        <f t="shared" si="1"/>
        <v>923</v>
      </c>
    </row>
    <row r="8" spans="1:6" ht="19.5" thickBot="1" x14ac:dyDescent="0.3">
      <c r="A8" s="58">
        <v>7</v>
      </c>
      <c r="B8" s="59" t="s">
        <v>183</v>
      </c>
      <c r="C8" s="59">
        <f>16*Значения!C2+8*Значения!C3+8*Значения!C4+2*Значения!C5</f>
        <v>352</v>
      </c>
      <c r="D8" s="59">
        <v>65</v>
      </c>
      <c r="E8" s="59">
        <f t="shared" si="0"/>
        <v>417</v>
      </c>
      <c r="F8" s="57">
        <f t="shared" si="1"/>
        <v>1340</v>
      </c>
    </row>
    <row r="9" spans="1:6" ht="19.5" thickBot="1" x14ac:dyDescent="0.3">
      <c r="A9" s="99" t="s">
        <v>164</v>
      </c>
      <c r="B9" s="100"/>
      <c r="C9" s="59">
        <f>SUM(C2:C8)</f>
        <v>1100</v>
      </c>
      <c r="D9" s="59">
        <f>SUM(D2:D8)</f>
        <v>240</v>
      </c>
      <c r="E9" s="59">
        <f>SUM(E2:E8)</f>
        <v>1340</v>
      </c>
      <c r="F9" s="57">
        <f>F8</f>
        <v>1340</v>
      </c>
    </row>
  </sheetData>
  <mergeCells count="1">
    <mergeCell ref="A9:B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0EEED-B211-414F-86E7-C41E260D78D5}">
  <dimension ref="A1:K6"/>
  <sheetViews>
    <sheetView tabSelected="1" workbookViewId="0">
      <selection activeCell="H5" sqref="H5"/>
    </sheetView>
  </sheetViews>
  <sheetFormatPr defaultRowHeight="15" x14ac:dyDescent="0.25"/>
  <cols>
    <col min="1" max="1" width="5.140625" customWidth="1"/>
    <col min="2" max="2" width="18.7109375" customWidth="1"/>
    <col min="3" max="3" width="12.7109375" customWidth="1"/>
    <col min="4" max="4" width="9" customWidth="1"/>
    <col min="5" max="5" width="8.85546875" customWidth="1"/>
    <col min="7" max="7" width="11.28515625" customWidth="1"/>
    <col min="10" max="10" width="21.140625" customWidth="1"/>
  </cols>
  <sheetData>
    <row r="1" spans="1:11" ht="19.5" thickBot="1" x14ac:dyDescent="0.3">
      <c r="A1" s="56" t="s">
        <v>66</v>
      </c>
      <c r="B1" s="57" t="s">
        <v>165</v>
      </c>
      <c r="C1" s="57" t="s">
        <v>166</v>
      </c>
      <c r="D1" s="57" t="s">
        <v>167</v>
      </c>
      <c r="E1" s="57" t="s">
        <v>168</v>
      </c>
      <c r="G1" s="62" t="s">
        <v>171</v>
      </c>
      <c r="H1" s="63" t="s">
        <v>172</v>
      </c>
      <c r="J1" s="62" t="s">
        <v>5</v>
      </c>
      <c r="K1" s="62" t="s">
        <v>172</v>
      </c>
    </row>
    <row r="2" spans="1:11" ht="19.5" thickBot="1" x14ac:dyDescent="0.3">
      <c r="A2" s="58">
        <v>1</v>
      </c>
      <c r="B2" s="59" t="s">
        <v>169</v>
      </c>
      <c r="C2" s="59">
        <f>AVERAGE(D2:E2)</f>
        <v>4</v>
      </c>
      <c r="D2" s="59">
        <v>2</v>
      </c>
      <c r="E2" s="59">
        <v>6</v>
      </c>
      <c r="G2" s="60">
        <v>1</v>
      </c>
      <c r="H2" s="59">
        <v>0</v>
      </c>
      <c r="J2" s="62" t="s">
        <v>174</v>
      </c>
      <c r="K2" s="61">
        <v>30</v>
      </c>
    </row>
    <row r="3" spans="1:11" ht="19.5" thickBot="1" x14ac:dyDescent="0.3">
      <c r="A3" s="58">
        <v>2</v>
      </c>
      <c r="B3" s="59" t="s">
        <v>158</v>
      </c>
      <c r="C3" s="59">
        <f t="shared" ref="C3:C5" si="0">AVERAGE(D3:E3)</f>
        <v>6</v>
      </c>
      <c r="D3" s="59">
        <v>3</v>
      </c>
      <c r="E3" s="59">
        <v>9</v>
      </c>
      <c r="G3" s="58">
        <v>2</v>
      </c>
      <c r="H3" s="59">
        <v>50</v>
      </c>
      <c r="J3" s="65" t="s">
        <v>175</v>
      </c>
      <c r="K3" s="59">
        <v>20</v>
      </c>
    </row>
    <row r="4" spans="1:11" ht="19.5" thickBot="1" x14ac:dyDescent="0.3">
      <c r="A4" s="58">
        <v>3</v>
      </c>
      <c r="B4" s="59" t="s">
        <v>159</v>
      </c>
      <c r="C4" s="59">
        <f t="shared" si="0"/>
        <v>20</v>
      </c>
      <c r="D4" s="59">
        <v>10</v>
      </c>
      <c r="E4" s="59">
        <v>30</v>
      </c>
      <c r="G4" s="58">
        <v>3</v>
      </c>
      <c r="H4" s="59">
        <v>300</v>
      </c>
      <c r="J4" s="65" t="s">
        <v>176</v>
      </c>
      <c r="K4" s="59">
        <v>50</v>
      </c>
    </row>
    <row r="5" spans="1:11" ht="19.5" thickBot="1" x14ac:dyDescent="0.3">
      <c r="A5" s="58">
        <v>4</v>
      </c>
      <c r="B5" s="59" t="s">
        <v>170</v>
      </c>
      <c r="C5" s="59">
        <f t="shared" si="0"/>
        <v>40</v>
      </c>
      <c r="D5" s="59">
        <v>30</v>
      </c>
      <c r="E5" s="59">
        <v>50</v>
      </c>
      <c r="G5" s="58" t="s">
        <v>173</v>
      </c>
      <c r="H5" s="64">
        <v>0</v>
      </c>
      <c r="J5" s="65" t="s">
        <v>177</v>
      </c>
      <c r="K5" s="59">
        <v>80</v>
      </c>
    </row>
    <row r="6" spans="1:11" ht="19.5" thickBot="1" x14ac:dyDescent="0.3">
      <c r="G6" s="65" t="s">
        <v>164</v>
      </c>
      <c r="H6" s="59">
        <f>SUM(H2:H5)</f>
        <v>350</v>
      </c>
      <c r="J6" s="65" t="s">
        <v>164</v>
      </c>
      <c r="K6" s="59">
        <f>SUM(K2:K5)</f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Снаряжение</vt:lpstr>
      <vt:lpstr>Враги</vt:lpstr>
      <vt:lpstr>Баланс волн</vt:lpstr>
      <vt:lpstr>Значения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DmitryPC</dc:creator>
  <cp:lastModifiedBy>DmitryPC</cp:lastModifiedBy>
  <dcterms:created xsi:type="dcterms:W3CDTF">2015-06-05T18:19:34Z</dcterms:created>
  <dcterms:modified xsi:type="dcterms:W3CDTF">2026-06-08T19:33:39Z</dcterms:modified>
</cp:coreProperties>
</file>